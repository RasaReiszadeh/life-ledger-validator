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958b9690262d12/Desktop/CPP-Seneca/Project/life-ledger/"/>
    </mc:Choice>
  </mc:AlternateContent>
  <xr:revisionPtr revIDLastSave="0" documentId="11_8E8F9E2D61EFAE805F14ABAE9560C720A11B76FB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Transactions" sheetId="2" r:id="rId2"/>
    <sheet name="Budget" sheetId="3" r:id="rId3"/>
    <sheet name="Rules" sheetId="4" r:id="rId4"/>
    <sheet name="Summary" sheetId="5" r:id="rId5"/>
    <sheet name="Accessibil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5" l="1"/>
  <c r="A15" i="5"/>
  <c r="B15" i="5" s="1"/>
  <c r="C14" i="5"/>
  <c r="A14" i="5"/>
  <c r="B14" i="5" s="1"/>
  <c r="C13" i="5"/>
  <c r="A13" i="5"/>
  <c r="B13" i="5" s="1"/>
  <c r="C12" i="5"/>
  <c r="A12" i="5"/>
  <c r="B12" i="5" s="1"/>
  <c r="C11" i="5"/>
  <c r="A11" i="5"/>
  <c r="B11" i="5" s="1"/>
  <c r="C10" i="5"/>
  <c r="A10" i="5"/>
  <c r="B10" i="5" s="1"/>
  <c r="C9" i="5"/>
  <c r="A9" i="5"/>
  <c r="B9" i="5" s="1"/>
  <c r="B2" i="5"/>
  <c r="B4" i="1" s="1"/>
  <c r="B1" i="5"/>
  <c r="B3" i="5" s="1"/>
  <c r="B5" i="1" s="1"/>
  <c r="D10" i="5" l="1"/>
  <c r="E10" i="5" s="1"/>
  <c r="D14" i="5"/>
  <c r="E14" i="5" s="1"/>
  <c r="D12" i="5"/>
  <c r="E12" i="5" s="1"/>
  <c r="D9" i="5"/>
  <c r="E9" i="5" s="1"/>
  <c r="D13" i="5"/>
  <c r="E13" i="5" s="1"/>
  <c r="D11" i="5"/>
  <c r="E11" i="5" s="1"/>
  <c r="D15" i="5"/>
  <c r="E15" i="5" s="1"/>
  <c r="B3" i="1"/>
  <c r="B6" i="1" l="1"/>
</calcChain>
</file>

<file path=xl/sharedStrings.xml><?xml version="1.0" encoding="utf-8"?>
<sst xmlns="http://schemas.openxmlformats.org/spreadsheetml/2006/main" count="149" uniqueCount="78">
  <si>
    <t>Life Ledger Dashboard - September 2026 (fictional data)</t>
  </si>
  <si>
    <t>Total income</t>
  </si>
  <si>
    <t>Total expenses</t>
  </si>
  <si>
    <t>Calculated net</t>
  </si>
  <si>
    <t>Categories over budget</t>
  </si>
  <si>
    <t>Date</t>
  </si>
  <si>
    <t>Description</t>
  </si>
  <si>
    <t>Category</t>
  </si>
  <si>
    <t>Type</t>
  </si>
  <si>
    <t>Amount</t>
  </si>
  <si>
    <t>Status</t>
  </si>
  <si>
    <t>Paycheque</t>
  </si>
  <si>
    <t>Income</t>
  </si>
  <si>
    <t>Rent</t>
  </si>
  <si>
    <t>Housing</t>
  </si>
  <si>
    <t>Expense</t>
  </si>
  <si>
    <t>Grocery run</t>
  </si>
  <si>
    <t>Groceries</t>
  </si>
  <si>
    <t>PRESTO reload</t>
  </si>
  <si>
    <t>Transport</t>
  </si>
  <si>
    <t>Netflix</t>
  </si>
  <si>
    <t>Subscriptions</t>
  </si>
  <si>
    <t>Lunch with friends</t>
  </si>
  <si>
    <t>Dining</t>
  </si>
  <si>
    <t>Python course</t>
  </si>
  <si>
    <t>Education</t>
  </si>
  <si>
    <t>Ramen night</t>
  </si>
  <si>
    <t>Movie night</t>
  </si>
  <si>
    <t>Entertainment</t>
  </si>
  <si>
    <t>Sushi</t>
  </si>
  <si>
    <t>Textbook</t>
  </si>
  <si>
    <t>Concert tickets</t>
  </si>
  <si>
    <t>Spotify</t>
  </si>
  <si>
    <t>2026-09-31</t>
  </si>
  <si>
    <t>Bookstore</t>
  </si>
  <si>
    <t>Educaton</t>
  </si>
  <si>
    <t>Mystery charge</t>
  </si>
  <si>
    <t>Coffee</t>
  </si>
  <si>
    <t>12.50 CAD</t>
  </si>
  <si>
    <t>Refund</t>
  </si>
  <si>
    <t>Laptop</t>
  </si>
  <si>
    <t>Pre-paid gym</t>
  </si>
  <si>
    <t>Side gig</t>
  </si>
  <si>
    <t>Monthly Limit</t>
  </si>
  <si>
    <t>Rule</t>
  </si>
  <si>
    <t>Value</t>
  </si>
  <si>
    <t>Maximum single transaction</t>
  </si>
  <si>
    <t>Reconciliation tolerance</t>
  </si>
  <si>
    <t>Edit only the Value column. The VBA macro reads these cells.</t>
  </si>
  <si>
    <t>Reported net (typed in from the app)</t>
  </si>
  <si>
    <t>B5 is a fictional hardcoded input used to test reconciliation.</t>
  </si>
  <si>
    <t>Spent</t>
  </si>
  <si>
    <t>Limit</t>
  </si>
  <si>
    <t>Remaining</t>
  </si>
  <si>
    <t>Check</t>
  </si>
  <si>
    <t>How this workbook handles it</t>
  </si>
  <si>
    <t>Verified?</t>
  </si>
  <si>
    <t>Descriptive sheet names</t>
  </si>
  <si>
    <t>Sheets are named Dashboard, Transactions, Budget, Rules, Summary, Report, Accessibility.</t>
  </si>
  <si>
    <t>No</t>
  </si>
  <si>
    <t>Marked and frozen header rows</t>
  </si>
  <si>
    <t>Every data sheet has a bold header row; Transactions freezes it.</t>
  </si>
  <si>
    <t>No merged cells or empty rows inside data</t>
  </si>
  <si>
    <t>Tables are plain grids with no merged cells.</t>
  </si>
  <si>
    <t>Status is not shown by colour alone</t>
  </si>
  <si>
    <t>Row status and budget status are also written as text (OK / Check / OVER BUDGET).</t>
  </si>
  <si>
    <t>Text and background contrast</t>
  </si>
  <si>
    <t>Headers use white text on dark navy (1F3864).</t>
  </si>
  <si>
    <t>Charts have titles, axis titles and a text equivalent</t>
  </si>
  <si>
    <t>Both charts have titles and axis titles; the same figures appear as text on Dashboard and Summary.</t>
  </si>
  <si>
    <t>Plain-language messages</t>
  </si>
  <si>
    <t>Validation report messages are full sentences that say what to fix.</t>
  </si>
  <si>
    <t>Alt text on both charts</t>
  </si>
  <si>
    <t>MANUAL: right-click each chart &gt; Edit Alt Text and describe the takeaway.</t>
  </si>
  <si>
    <t>Run Excel's Accessibility Checker</t>
  </si>
  <si>
    <t>MANUAL: Review &gt; Check Accessibility, then fix every warning.</t>
  </si>
  <si>
    <t>Document title set</t>
  </si>
  <si>
    <t>MANUAL: File &gt; Info &gt; Properties &gt; Title.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</si>
</sst>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1" fontId="0" fillId="0" borderId="0" xfId="0" applyNumberFormat="1"/>
    <xf numFmtId="0" fontId="3" fillId="2" borderId="0" xfId="0" applyFont="1" applyFill="1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Spending vs monthly limit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Summary!$A$9:$A$15</c:f>
              <c:strCache>
                <c:ptCount val="7"/>
                <c:pt idx="0">
                  <c:v>Housing</c:v>
                </c:pt>
                <c:pt idx="1">
                  <c:v>Groceries</c:v>
                </c:pt>
                <c:pt idx="2">
                  <c:v>Transport</c:v>
                </c:pt>
                <c:pt idx="3">
                  <c:v>Dining</c:v>
                </c:pt>
                <c:pt idx="4">
                  <c:v>Subscriptions</c:v>
                </c:pt>
                <c:pt idx="5">
                  <c:v>Education</c:v>
                </c:pt>
                <c:pt idx="6">
                  <c:v>Entertainment</c:v>
                </c:pt>
              </c:strCache>
            </c:strRef>
          </c:cat>
          <c:val>
            <c:numRef>
              <c:f>Summary!$B$9:$B$15</c:f>
              <c:numCache>
                <c:formatCode>#,##0.00</c:formatCode>
                <c:ptCount val="7"/>
                <c:pt idx="0">
                  <c:v>1450</c:v>
                </c:pt>
                <c:pt idx="1">
                  <c:v>412.84999999999997</c:v>
                </c:pt>
                <c:pt idx="2">
                  <c:v>120</c:v>
                </c:pt>
                <c:pt idx="3">
                  <c:v>148.75</c:v>
                </c:pt>
                <c:pt idx="4">
                  <c:v>40.47</c:v>
                </c:pt>
                <c:pt idx="5">
                  <c:v>100188.99</c:v>
                </c:pt>
                <c:pt idx="6">
                  <c:v>217.5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B-493B-A36A-45B4935D73A7}"/>
            </c:ext>
          </c:extLst>
        </c:ser>
        <c:ser>
          <c:idx val="1"/>
          <c:order val="1"/>
          <c:tx>
            <c:strRef>
              <c:f>Summary!$C$8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Summary!$A$9:$A$15</c:f>
              <c:strCache>
                <c:ptCount val="7"/>
                <c:pt idx="0">
                  <c:v>Housing</c:v>
                </c:pt>
                <c:pt idx="1">
                  <c:v>Groceries</c:v>
                </c:pt>
                <c:pt idx="2">
                  <c:v>Transport</c:v>
                </c:pt>
                <c:pt idx="3">
                  <c:v>Dining</c:v>
                </c:pt>
                <c:pt idx="4">
                  <c:v>Subscriptions</c:v>
                </c:pt>
                <c:pt idx="5">
                  <c:v>Education</c:v>
                </c:pt>
                <c:pt idx="6">
                  <c:v>Entertainment</c:v>
                </c:pt>
              </c:strCache>
            </c:strRef>
          </c:cat>
          <c:val>
            <c:numRef>
              <c:f>Summary!$C$9:$C$15</c:f>
              <c:numCache>
                <c:formatCode>#,##0.00</c:formatCode>
                <c:ptCount val="7"/>
                <c:pt idx="0">
                  <c:v>1500</c:v>
                </c:pt>
                <c:pt idx="1">
                  <c:v>400</c:v>
                </c:pt>
                <c:pt idx="2">
                  <c:v>180</c:v>
                </c:pt>
                <c:pt idx="3">
                  <c:v>150</c:v>
                </c:pt>
                <c:pt idx="4">
                  <c:v>60</c:v>
                </c:pt>
                <c:pt idx="5">
                  <c:v>200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B-493B-A36A-45B4935D7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85941"/>
        <c:axId val="32529812"/>
      </c:barChart>
      <c:catAx>
        <c:axId val="178859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529812"/>
        <c:crosses val="autoZero"/>
        <c:auto val="1"/>
        <c:lblAlgn val="ctr"/>
        <c:lblOffset val="100"/>
        <c:noMultiLvlLbl val="0"/>
      </c:catAx>
      <c:valAx>
        <c:axId val="32529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Amount (CAD)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8859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income vs total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Summary!$A$1:$A$2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Summary!$B$1:$B$2</c:f>
              <c:numCache>
                <c:formatCode>#,##0.00</c:formatCode>
                <c:ptCount val="2"/>
                <c:pt idx="0">
                  <c:v>4800</c:v>
                </c:pt>
                <c:pt idx="1">
                  <c:v>102631.55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D-4E03-AC35-0A1616627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11879"/>
        <c:axId val="69728668"/>
      </c:barChart>
      <c:catAx>
        <c:axId val="3351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728668"/>
        <c:crosses val="autoZero"/>
        <c:auto val="1"/>
        <c:lblAlgn val="ctr"/>
        <c:lblOffset val="100"/>
        <c:noMultiLvlLbl val="0"/>
      </c:catAx>
      <c:valAx>
        <c:axId val="69728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Amount (CAD)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511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160560</xdr:rowOff>
    </xdr:from>
    <xdr:to>
      <xdr:col>8</xdr:col>
      <xdr:colOff>570240</xdr:colOff>
      <xdr:row>24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160920</xdr:rowOff>
    </xdr:from>
    <xdr:to>
      <xdr:col>5</xdr:col>
      <xdr:colOff>244800</xdr:colOff>
      <xdr:row>42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F5" sqref="F5"/>
    </sheetView>
  </sheetViews>
  <sheetFormatPr defaultColWidth="8.6328125" defaultRowHeight="14.5" x14ac:dyDescent="0.35"/>
  <cols>
    <col min="1" max="1" width="26" customWidth="1"/>
    <col min="2" max="2" width="16" customWidth="1"/>
  </cols>
  <sheetData>
    <row r="1" spans="1:2" ht="17.5" x14ac:dyDescent="0.35">
      <c r="A1" s="1" t="s">
        <v>0</v>
      </c>
    </row>
    <row r="3" spans="1:2" x14ac:dyDescent="0.35">
      <c r="A3" s="2" t="s">
        <v>1</v>
      </c>
      <c r="B3" s="3">
        <f>Summary!B1</f>
        <v>4800</v>
      </c>
    </row>
    <row r="4" spans="1:2" x14ac:dyDescent="0.35">
      <c r="A4" s="2" t="s">
        <v>2</v>
      </c>
      <c r="B4" s="3">
        <f>Summary!B2</f>
        <v>102631.55</v>
      </c>
    </row>
    <row r="5" spans="1:2" x14ac:dyDescent="0.35">
      <c r="A5" s="2" t="s">
        <v>3</v>
      </c>
      <c r="B5" s="3">
        <f>Summary!B3</f>
        <v>-97831.55</v>
      </c>
    </row>
    <row r="6" spans="1:2" x14ac:dyDescent="0.35">
      <c r="A6" s="2" t="s">
        <v>4</v>
      </c>
      <c r="B6" s="4">
        <f>COUNTIF(Summary!E9:E15,"OVER BUDGET")</f>
        <v>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26" customWidth="1"/>
    <col min="3" max="3" width="18" customWidth="1"/>
    <col min="4" max="4" width="12" customWidth="1"/>
    <col min="5" max="6" width="14" customWidth="1"/>
  </cols>
  <sheetData>
    <row r="1" spans="1:6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</row>
    <row r="2" spans="1:6" x14ac:dyDescent="0.35">
      <c r="A2" s="6">
        <v>46266</v>
      </c>
      <c r="B2" t="s">
        <v>11</v>
      </c>
      <c r="C2" t="s">
        <v>12</v>
      </c>
      <c r="D2" t="s">
        <v>12</v>
      </c>
      <c r="E2" s="3">
        <v>2400</v>
      </c>
    </row>
    <row r="3" spans="1:6" x14ac:dyDescent="0.35">
      <c r="A3" s="6">
        <v>46266</v>
      </c>
      <c r="B3" t="s">
        <v>13</v>
      </c>
      <c r="C3" t="s">
        <v>14</v>
      </c>
      <c r="D3" t="s">
        <v>15</v>
      </c>
      <c r="E3" s="3">
        <v>1450</v>
      </c>
    </row>
    <row r="4" spans="1:6" x14ac:dyDescent="0.35">
      <c r="A4" s="6">
        <v>46267</v>
      </c>
      <c r="B4" t="s">
        <v>16</v>
      </c>
      <c r="C4" t="s">
        <v>17</v>
      </c>
      <c r="D4" t="s">
        <v>15</v>
      </c>
      <c r="E4" s="3">
        <v>86.4</v>
      </c>
    </row>
    <row r="5" spans="1:6" x14ac:dyDescent="0.35">
      <c r="A5" s="6">
        <v>46268</v>
      </c>
      <c r="B5" t="s">
        <v>18</v>
      </c>
      <c r="C5" t="s">
        <v>19</v>
      </c>
      <c r="D5" t="s">
        <v>15</v>
      </c>
      <c r="E5" s="3">
        <v>60</v>
      </c>
    </row>
    <row r="6" spans="1:6" x14ac:dyDescent="0.35">
      <c r="A6" s="6">
        <v>46269</v>
      </c>
      <c r="B6" t="s">
        <v>20</v>
      </c>
      <c r="C6" t="s">
        <v>21</v>
      </c>
      <c r="D6" t="s">
        <v>15</v>
      </c>
      <c r="E6" s="3">
        <v>16.489999999999998</v>
      </c>
    </row>
    <row r="7" spans="1:6" x14ac:dyDescent="0.35">
      <c r="A7" s="6">
        <v>46270</v>
      </c>
      <c r="B7" t="s">
        <v>22</v>
      </c>
      <c r="C7" t="s">
        <v>23</v>
      </c>
      <c r="D7" t="s">
        <v>15</v>
      </c>
      <c r="E7" s="3">
        <v>42.75</v>
      </c>
    </row>
    <row r="8" spans="1:6" x14ac:dyDescent="0.35">
      <c r="A8" s="6">
        <v>46272</v>
      </c>
      <c r="B8" t="s">
        <v>16</v>
      </c>
      <c r="C8" t="s">
        <v>17</v>
      </c>
      <c r="D8" t="s">
        <v>15</v>
      </c>
      <c r="E8" s="3">
        <v>92.1</v>
      </c>
    </row>
    <row r="9" spans="1:6" x14ac:dyDescent="0.35">
      <c r="A9" s="6">
        <v>46273</v>
      </c>
      <c r="B9" t="s">
        <v>24</v>
      </c>
      <c r="C9" t="s">
        <v>25</v>
      </c>
      <c r="D9" t="s">
        <v>15</v>
      </c>
      <c r="E9" s="3">
        <v>39.99</v>
      </c>
    </row>
    <row r="10" spans="1:6" x14ac:dyDescent="0.35">
      <c r="A10" s="6">
        <v>46275</v>
      </c>
      <c r="B10" t="s">
        <v>26</v>
      </c>
      <c r="C10" t="s">
        <v>23</v>
      </c>
      <c r="D10" t="s">
        <v>15</v>
      </c>
      <c r="E10" s="3">
        <v>38</v>
      </c>
    </row>
    <row r="11" spans="1:6" x14ac:dyDescent="0.35">
      <c r="A11" s="6">
        <v>46277</v>
      </c>
      <c r="B11" t="s">
        <v>16</v>
      </c>
      <c r="C11" t="s">
        <v>17</v>
      </c>
      <c r="D11" t="s">
        <v>15</v>
      </c>
      <c r="E11" s="3">
        <v>101.25</v>
      </c>
    </row>
    <row r="12" spans="1:6" x14ac:dyDescent="0.35">
      <c r="A12" s="6">
        <v>46279</v>
      </c>
      <c r="B12" t="s">
        <v>27</v>
      </c>
      <c r="C12" t="s">
        <v>28</v>
      </c>
      <c r="D12" t="s">
        <v>15</v>
      </c>
      <c r="E12" s="3">
        <v>27.5</v>
      </c>
    </row>
    <row r="13" spans="1:6" x14ac:dyDescent="0.35">
      <c r="A13" s="6">
        <v>46280</v>
      </c>
      <c r="B13" t="s">
        <v>11</v>
      </c>
      <c r="C13" t="s">
        <v>12</v>
      </c>
      <c r="D13" t="s">
        <v>12</v>
      </c>
      <c r="E13" s="3">
        <v>2400</v>
      </c>
    </row>
    <row r="14" spans="1:6" x14ac:dyDescent="0.35">
      <c r="A14" s="6">
        <v>46281</v>
      </c>
      <c r="B14" t="s">
        <v>18</v>
      </c>
      <c r="C14" t="s">
        <v>19</v>
      </c>
      <c r="D14" t="s">
        <v>15</v>
      </c>
      <c r="E14" s="3">
        <v>60</v>
      </c>
    </row>
    <row r="15" spans="1:6" x14ac:dyDescent="0.35">
      <c r="A15" s="6">
        <v>46283</v>
      </c>
      <c r="B15" t="s">
        <v>29</v>
      </c>
      <c r="C15" t="s">
        <v>23</v>
      </c>
      <c r="D15" t="s">
        <v>15</v>
      </c>
      <c r="E15" s="3">
        <v>68</v>
      </c>
    </row>
    <row r="16" spans="1:6" x14ac:dyDescent="0.35">
      <c r="A16" s="6">
        <v>46284</v>
      </c>
      <c r="B16" t="s">
        <v>16</v>
      </c>
      <c r="C16" t="s">
        <v>17</v>
      </c>
      <c r="D16" t="s">
        <v>15</v>
      </c>
      <c r="E16" s="3">
        <v>88.9</v>
      </c>
    </row>
    <row r="17" spans="1:5" x14ac:dyDescent="0.35">
      <c r="A17" s="6">
        <v>46286</v>
      </c>
      <c r="B17" t="s">
        <v>30</v>
      </c>
      <c r="C17" t="s">
        <v>25</v>
      </c>
      <c r="D17" t="s">
        <v>15</v>
      </c>
      <c r="E17" s="3">
        <v>150</v>
      </c>
    </row>
    <row r="18" spans="1:5" x14ac:dyDescent="0.35">
      <c r="A18" s="6">
        <v>46287</v>
      </c>
      <c r="B18" t="s">
        <v>31</v>
      </c>
      <c r="C18" t="s">
        <v>28</v>
      </c>
      <c r="D18" t="s">
        <v>15</v>
      </c>
      <c r="E18" s="3">
        <v>145</v>
      </c>
    </row>
    <row r="19" spans="1:5" x14ac:dyDescent="0.35">
      <c r="A19" s="6">
        <v>46290</v>
      </c>
      <c r="B19" t="s">
        <v>32</v>
      </c>
      <c r="C19" t="s">
        <v>21</v>
      </c>
      <c r="D19" t="s">
        <v>15</v>
      </c>
      <c r="E19" s="3">
        <v>11.99</v>
      </c>
    </row>
    <row r="20" spans="1:5" x14ac:dyDescent="0.35">
      <c r="A20" s="6">
        <v>46290</v>
      </c>
      <c r="B20" t="s">
        <v>32</v>
      </c>
      <c r="C20" t="s">
        <v>21</v>
      </c>
      <c r="D20" t="s">
        <v>15</v>
      </c>
      <c r="E20" s="3">
        <v>11.99</v>
      </c>
    </row>
    <row r="21" spans="1:5" x14ac:dyDescent="0.35">
      <c r="A21" s="6" t="s">
        <v>33</v>
      </c>
      <c r="B21" t="s">
        <v>16</v>
      </c>
      <c r="C21" t="s">
        <v>17</v>
      </c>
      <c r="D21" t="s">
        <v>15</v>
      </c>
      <c r="E21" s="3">
        <v>74.2</v>
      </c>
    </row>
    <row r="22" spans="1:5" x14ac:dyDescent="0.35">
      <c r="A22" s="6">
        <v>46291</v>
      </c>
      <c r="B22" t="s">
        <v>34</v>
      </c>
      <c r="C22" t="s">
        <v>35</v>
      </c>
      <c r="D22" t="s">
        <v>15</v>
      </c>
      <c r="E22" s="3">
        <v>33</v>
      </c>
    </row>
    <row r="23" spans="1:5" x14ac:dyDescent="0.35">
      <c r="A23" s="6">
        <v>46292</v>
      </c>
      <c r="B23" t="s">
        <v>36</v>
      </c>
      <c r="D23" t="s">
        <v>15</v>
      </c>
      <c r="E23" s="3">
        <v>19.989999999999998</v>
      </c>
    </row>
    <row r="24" spans="1:5" x14ac:dyDescent="0.35">
      <c r="A24" s="6">
        <v>46292</v>
      </c>
      <c r="B24" t="s">
        <v>37</v>
      </c>
      <c r="C24" t="s">
        <v>23</v>
      </c>
      <c r="D24" t="s">
        <v>15</v>
      </c>
      <c r="E24" s="3" t="s">
        <v>38</v>
      </c>
    </row>
    <row r="25" spans="1:5" x14ac:dyDescent="0.35">
      <c r="A25" s="6">
        <v>46293</v>
      </c>
      <c r="B25" t="s">
        <v>39</v>
      </c>
      <c r="C25" t="s">
        <v>17</v>
      </c>
      <c r="D25" t="s">
        <v>15</v>
      </c>
      <c r="E25" s="3">
        <v>-30</v>
      </c>
    </row>
    <row r="26" spans="1:5" x14ac:dyDescent="0.35">
      <c r="A26" s="6">
        <v>46293</v>
      </c>
      <c r="B26" t="s">
        <v>40</v>
      </c>
      <c r="C26" t="s">
        <v>25</v>
      </c>
      <c r="D26" t="s">
        <v>15</v>
      </c>
      <c r="E26" s="3">
        <v>99999</v>
      </c>
    </row>
    <row r="27" spans="1:5" x14ac:dyDescent="0.35">
      <c r="A27" s="6">
        <v>46392</v>
      </c>
      <c r="B27" t="s">
        <v>41</v>
      </c>
      <c r="C27" t="s">
        <v>28</v>
      </c>
      <c r="D27" t="s">
        <v>15</v>
      </c>
      <c r="E27" s="3">
        <v>45</v>
      </c>
    </row>
    <row r="28" spans="1:5" x14ac:dyDescent="0.35">
      <c r="A28" s="6">
        <v>46294</v>
      </c>
      <c r="B28" t="s">
        <v>42</v>
      </c>
      <c r="C28" t="s">
        <v>12</v>
      </c>
      <c r="E28" s="3">
        <v>120</v>
      </c>
    </row>
  </sheetData>
  <dataValidations count="1">
    <dataValidation type="list" allowBlank="1" sqref="D2:D500" xr:uid="{00000000-0002-0000-0100-000000000000}">
      <formula1>"Income,Expense"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/>
  </sheetViews>
  <sheetFormatPr defaultColWidth="8.6328125" defaultRowHeight="14.5" x14ac:dyDescent="0.35"/>
  <cols>
    <col min="1" max="1" width="20" customWidth="1"/>
    <col min="2" max="2" width="16" customWidth="1"/>
  </cols>
  <sheetData>
    <row r="1" spans="1:2" x14ac:dyDescent="0.35">
      <c r="A1" s="5" t="s">
        <v>7</v>
      </c>
      <c r="B1" s="5" t="s">
        <v>43</v>
      </c>
    </row>
    <row r="2" spans="1:2" x14ac:dyDescent="0.35">
      <c r="A2" t="s">
        <v>14</v>
      </c>
      <c r="B2" s="3">
        <v>1500</v>
      </c>
    </row>
    <row r="3" spans="1:2" x14ac:dyDescent="0.35">
      <c r="A3" t="s">
        <v>17</v>
      </c>
      <c r="B3" s="3">
        <v>400</v>
      </c>
    </row>
    <row r="4" spans="1:2" x14ac:dyDescent="0.35">
      <c r="A4" t="s">
        <v>19</v>
      </c>
      <c r="B4" s="3">
        <v>180</v>
      </c>
    </row>
    <row r="5" spans="1:2" x14ac:dyDescent="0.35">
      <c r="A5" t="s">
        <v>23</v>
      </c>
      <c r="B5" s="3">
        <v>150</v>
      </c>
    </row>
    <row r="6" spans="1:2" x14ac:dyDescent="0.35">
      <c r="A6" t="s">
        <v>21</v>
      </c>
      <c r="B6" s="3">
        <v>60</v>
      </c>
    </row>
    <row r="7" spans="1:2" x14ac:dyDescent="0.35">
      <c r="A7" t="s">
        <v>25</v>
      </c>
      <c r="B7" s="3">
        <v>200</v>
      </c>
    </row>
    <row r="8" spans="1:2" x14ac:dyDescent="0.35">
      <c r="A8" t="s">
        <v>28</v>
      </c>
      <c r="B8" s="3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4" customWidth="1"/>
  </cols>
  <sheetData>
    <row r="1" spans="1:2" x14ac:dyDescent="0.35">
      <c r="A1" s="5" t="s">
        <v>44</v>
      </c>
      <c r="B1" s="5" t="s">
        <v>45</v>
      </c>
    </row>
    <row r="2" spans="1:2" x14ac:dyDescent="0.35">
      <c r="A2" t="s">
        <v>46</v>
      </c>
      <c r="B2">
        <v>5000</v>
      </c>
    </row>
    <row r="3" spans="1:2" x14ac:dyDescent="0.35">
      <c r="A3" t="s">
        <v>47</v>
      </c>
      <c r="B3">
        <v>0.01</v>
      </c>
    </row>
    <row r="5" spans="1:2" x14ac:dyDescent="0.35">
      <c r="A5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Normal="100" workbookViewId="0"/>
  </sheetViews>
  <sheetFormatPr defaultColWidth="8.6328125" defaultRowHeight="14.5" x14ac:dyDescent="0.35"/>
  <cols>
    <col min="1" max="1" width="38" customWidth="1"/>
    <col min="2" max="4" width="14" customWidth="1"/>
    <col min="5" max="5" width="16" customWidth="1"/>
  </cols>
  <sheetData>
    <row r="1" spans="1:5" x14ac:dyDescent="0.35">
      <c r="A1" s="2" t="s">
        <v>1</v>
      </c>
      <c r="B1" s="3">
        <f>SUMIFS(Transactions!E:E,Transactions!D:D,"Income")</f>
        <v>4800</v>
      </c>
    </row>
    <row r="2" spans="1:5" x14ac:dyDescent="0.35">
      <c r="A2" s="2" t="s">
        <v>2</v>
      </c>
      <c r="B2" s="3">
        <f>SUMIFS(Transactions!E:E,Transactions!D:D,"Expense")</f>
        <v>102631.55</v>
      </c>
    </row>
    <row r="3" spans="1:5" x14ac:dyDescent="0.35">
      <c r="A3" s="2" t="s">
        <v>3</v>
      </c>
      <c r="B3" s="3">
        <f>B1-B2</f>
        <v>-97831.55</v>
      </c>
    </row>
    <row r="5" spans="1:5" x14ac:dyDescent="0.35">
      <c r="A5" s="2" t="s">
        <v>49</v>
      </c>
      <c r="B5" s="3">
        <v>2310</v>
      </c>
    </row>
    <row r="6" spans="1:5" x14ac:dyDescent="0.35">
      <c r="A6" t="s">
        <v>50</v>
      </c>
    </row>
    <row r="8" spans="1:5" x14ac:dyDescent="0.35">
      <c r="A8" s="5" t="s">
        <v>7</v>
      </c>
      <c r="B8" s="5" t="s">
        <v>51</v>
      </c>
      <c r="C8" s="5" t="s">
        <v>52</v>
      </c>
      <c r="D8" s="5" t="s">
        <v>53</v>
      </c>
      <c r="E8" s="5" t="s">
        <v>10</v>
      </c>
    </row>
    <row r="9" spans="1:5" x14ac:dyDescent="0.35">
      <c r="A9" t="str">
        <f>Budget!A2</f>
        <v>Housing</v>
      </c>
      <c r="B9" s="3">
        <f>SUMIFS(Transactions!$E:$E,Transactions!$C:$C,A9,Transactions!$D:$D,"Expense")</f>
        <v>1450</v>
      </c>
      <c r="C9" s="3">
        <f>Budget!B2</f>
        <v>1500</v>
      </c>
      <c r="D9" s="3">
        <f t="shared" ref="D9:D15" si="0">C9-B9</f>
        <v>50</v>
      </c>
      <c r="E9" t="str">
        <f t="shared" ref="E9:E15" si="1">IF(D9&lt;0,"OVER BUDGET","Within budget")</f>
        <v>Within budget</v>
      </c>
    </row>
    <row r="10" spans="1:5" x14ac:dyDescent="0.35">
      <c r="A10" t="str">
        <f>Budget!A3</f>
        <v>Groceries</v>
      </c>
      <c r="B10" s="3">
        <f>SUMIFS(Transactions!$E:$E,Transactions!$C:$C,A10,Transactions!$D:$D,"Expense")</f>
        <v>412.84999999999997</v>
      </c>
      <c r="C10" s="3">
        <f>Budget!B3</f>
        <v>400</v>
      </c>
      <c r="D10" s="3">
        <f t="shared" si="0"/>
        <v>-12.849999999999966</v>
      </c>
      <c r="E10" t="str">
        <f t="shared" si="1"/>
        <v>OVER BUDGET</v>
      </c>
    </row>
    <row r="11" spans="1:5" x14ac:dyDescent="0.35">
      <c r="A11" t="str">
        <f>Budget!A4</f>
        <v>Transport</v>
      </c>
      <c r="B11" s="3">
        <f>SUMIFS(Transactions!$E:$E,Transactions!$C:$C,A11,Transactions!$D:$D,"Expense")</f>
        <v>120</v>
      </c>
      <c r="C11" s="3">
        <f>Budget!B4</f>
        <v>180</v>
      </c>
      <c r="D11" s="3">
        <f t="shared" si="0"/>
        <v>60</v>
      </c>
      <c r="E11" t="str">
        <f t="shared" si="1"/>
        <v>Within budget</v>
      </c>
    </row>
    <row r="12" spans="1:5" x14ac:dyDescent="0.35">
      <c r="A12" t="str">
        <f>Budget!A5</f>
        <v>Dining</v>
      </c>
      <c r="B12" s="3">
        <f>SUMIFS(Transactions!$E:$E,Transactions!$C:$C,A12,Transactions!$D:$D,"Expense")</f>
        <v>148.75</v>
      </c>
      <c r="C12" s="3">
        <f>Budget!B5</f>
        <v>150</v>
      </c>
      <c r="D12" s="3">
        <f t="shared" si="0"/>
        <v>1.25</v>
      </c>
      <c r="E12" t="str">
        <f t="shared" si="1"/>
        <v>Within budget</v>
      </c>
    </row>
    <row r="13" spans="1:5" x14ac:dyDescent="0.35">
      <c r="A13" t="str">
        <f>Budget!A6</f>
        <v>Subscriptions</v>
      </c>
      <c r="B13" s="3">
        <f>SUMIFS(Transactions!$E:$E,Transactions!$C:$C,A13,Transactions!$D:$D,"Expense")</f>
        <v>40.47</v>
      </c>
      <c r="C13" s="3">
        <f>Budget!B6</f>
        <v>60</v>
      </c>
      <c r="D13" s="3">
        <f t="shared" si="0"/>
        <v>19.53</v>
      </c>
      <c r="E13" t="str">
        <f t="shared" si="1"/>
        <v>Within budget</v>
      </c>
    </row>
    <row r="14" spans="1:5" x14ac:dyDescent="0.35">
      <c r="A14" t="str">
        <f>Budget!A7</f>
        <v>Education</v>
      </c>
      <c r="B14" s="3">
        <f>SUMIFS(Transactions!$E:$E,Transactions!$C:$C,A14,Transactions!$D:$D,"Expense")</f>
        <v>100188.99</v>
      </c>
      <c r="C14" s="3">
        <f>Budget!B7</f>
        <v>200</v>
      </c>
      <c r="D14" s="3">
        <f t="shared" si="0"/>
        <v>-99988.99</v>
      </c>
      <c r="E14" t="str">
        <f t="shared" si="1"/>
        <v>OVER BUDGET</v>
      </c>
    </row>
    <row r="15" spans="1:5" x14ac:dyDescent="0.35">
      <c r="A15" t="str">
        <f>Budget!A8</f>
        <v>Entertainment</v>
      </c>
      <c r="B15" s="3">
        <f>SUMIFS(Transactions!$E:$E,Transactions!$C:$C,A15,Transactions!$D:$D,"Expense")</f>
        <v>217.5</v>
      </c>
      <c r="C15" s="3">
        <f>Budget!B8</f>
        <v>100</v>
      </c>
      <c r="D15" s="3">
        <f t="shared" si="0"/>
        <v>-117.5</v>
      </c>
      <c r="E15" t="str">
        <f t="shared" si="1"/>
        <v>OVER BUDGET</v>
      </c>
    </row>
  </sheetData>
  <conditionalFormatting sqref="E9:E15">
    <cfRule type="expression" dxfId="0" priority="2">
      <formula>$E9="OVER BUDGET"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4" customWidth="1"/>
    <col min="2" max="2" width="80" customWidth="1"/>
    <col min="3" max="3" width="12" customWidth="1"/>
  </cols>
  <sheetData>
    <row r="1" spans="1:3" x14ac:dyDescent="0.35">
      <c r="A1" s="5" t="s">
        <v>54</v>
      </c>
      <c r="B1" s="5" t="s">
        <v>55</v>
      </c>
      <c r="C1" s="5" t="s">
        <v>56</v>
      </c>
    </row>
    <row r="2" spans="1:3" x14ac:dyDescent="0.35">
      <c r="A2" s="7" t="s">
        <v>57</v>
      </c>
      <c r="B2" s="7" t="s">
        <v>58</v>
      </c>
      <c r="C2" t="s">
        <v>59</v>
      </c>
    </row>
    <row r="3" spans="1:3" x14ac:dyDescent="0.35">
      <c r="A3" s="7" t="s">
        <v>60</v>
      </c>
      <c r="B3" s="7" t="s">
        <v>61</v>
      </c>
      <c r="C3" t="s">
        <v>59</v>
      </c>
    </row>
    <row r="4" spans="1:3" x14ac:dyDescent="0.35">
      <c r="A4" s="7" t="s">
        <v>62</v>
      </c>
      <c r="B4" s="7" t="s">
        <v>63</v>
      </c>
      <c r="C4" t="s">
        <v>59</v>
      </c>
    </row>
    <row r="5" spans="1:3" x14ac:dyDescent="0.35">
      <c r="A5" s="7" t="s">
        <v>64</v>
      </c>
      <c r="B5" s="7" t="s">
        <v>65</v>
      </c>
      <c r="C5" t="s">
        <v>59</v>
      </c>
    </row>
    <row r="6" spans="1:3" x14ac:dyDescent="0.35">
      <c r="A6" s="7" t="s">
        <v>66</v>
      </c>
      <c r="B6" s="7" t="s">
        <v>67</v>
      </c>
      <c r="C6" t="s">
        <v>59</v>
      </c>
    </row>
    <row r="7" spans="1:3" ht="29" x14ac:dyDescent="0.35">
      <c r="A7" s="7" t="s">
        <v>68</v>
      </c>
      <c r="B7" s="7" t="s">
        <v>69</v>
      </c>
      <c r="C7" t="s">
        <v>59</v>
      </c>
    </row>
    <row r="8" spans="1:3" x14ac:dyDescent="0.35">
      <c r="A8" s="7" t="s">
        <v>70</v>
      </c>
      <c r="B8" s="7" t="s">
        <v>71</v>
      </c>
      <c r="C8" t="s">
        <v>59</v>
      </c>
    </row>
    <row r="9" spans="1:3" x14ac:dyDescent="0.35">
      <c r="A9" s="7" t="s">
        <v>72</v>
      </c>
      <c r="B9" s="7" t="s">
        <v>73</v>
      </c>
      <c r="C9" t="s">
        <v>59</v>
      </c>
    </row>
    <row r="10" spans="1:3" x14ac:dyDescent="0.35">
      <c r="A10" s="7" t="s">
        <v>74</v>
      </c>
      <c r="B10" s="7" t="s">
        <v>75</v>
      </c>
      <c r="C10" t="s">
        <v>59</v>
      </c>
    </row>
    <row r="11" spans="1:3" x14ac:dyDescent="0.35">
      <c r="A11" s="7" t="s">
        <v>76</v>
      </c>
      <c r="B11" s="7" t="s">
        <v>77</v>
      </c>
      <c r="C11" t="s">
        <v>59</v>
      </c>
    </row>
  </sheetData>
  <dataValidations count="1">
    <dataValidation type="list" sqref="C2:C50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Transactions</vt:lpstr>
      <vt:lpstr>Budget</vt:lpstr>
      <vt:lpstr>Rules</vt:lpstr>
      <vt:lpstr>Summary</vt:lpstr>
      <vt:lpstr>Accessibility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Rasa Reiszadeh</cp:lastModifiedBy>
  <cp:revision>1</cp:revision>
  <dcterms:created xsi:type="dcterms:W3CDTF">2026-09-28T01:07:57Z</dcterms:created>
  <dcterms:modified xsi:type="dcterms:W3CDTF">2026-10-03T03:45:03Z</dcterms:modified>
  <dc:language>en-US</dc:language>
</cp:coreProperties>
</file>